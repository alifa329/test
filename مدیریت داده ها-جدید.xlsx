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ook\Downloads\"/>
    </mc:Choice>
  </mc:AlternateContent>
  <xr:revisionPtr revIDLastSave="0" documentId="13_ncr:1_{2CD06117-5D12-4335-A17D-C1304ADF588A}" xr6:coauthVersionLast="47" xr6:coauthVersionMax="47" xr10:uidLastSave="{00000000-0000-0000-0000-000000000000}"/>
  <bookViews>
    <workbookView xWindow="-110" yWindow="-110" windowWidth="19420" windowHeight="11500" activeTab="2" xr2:uid="{C15FB9D3-F47A-4155-8B69-7DA654384DF7}"/>
  </bookViews>
  <sheets>
    <sheet name="مدیریت داده" sheetId="1" r:id="rId1"/>
    <sheet name="قیمت تمام شده" sheetId="2" r:id="rId2"/>
    <sheet name="حق الزحم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6" i="3"/>
  <c r="D5" i="3"/>
  <c r="D4" i="3"/>
  <c r="E10" i="1"/>
  <c r="G10" i="2"/>
  <c r="G9" i="2"/>
  <c r="G8" i="2"/>
  <c r="G7" i="2"/>
  <c r="G6" i="2"/>
  <c r="G5" i="2"/>
  <c r="G4" i="2"/>
  <c r="G3" i="2"/>
  <c r="G2" i="2"/>
  <c r="F10" i="2"/>
  <c r="F9" i="2"/>
  <c r="F8" i="2"/>
  <c r="F7" i="2"/>
  <c r="F6" i="2"/>
  <c r="F5" i="2"/>
  <c r="F4" i="2"/>
  <c r="F3" i="2"/>
  <c r="F2" i="2"/>
  <c r="C10" i="2"/>
  <c r="E10" i="2"/>
  <c r="D10" i="2"/>
</calcChain>
</file>

<file path=xl/sharedStrings.xml><?xml version="1.0" encoding="utf-8"?>
<sst xmlns="http://schemas.openxmlformats.org/spreadsheetml/2006/main" count="71" uniqueCount="43">
  <si>
    <t>ردیف</t>
  </si>
  <si>
    <t>نام محصول</t>
  </si>
  <si>
    <t>کد محصول</t>
  </si>
  <si>
    <t>هنر آموز ناظر</t>
  </si>
  <si>
    <t>قسما پیش بینی شده</t>
  </si>
  <si>
    <t>رشته ارائه دهنده محصول</t>
  </si>
  <si>
    <t>شلف دیواری مدل L</t>
  </si>
  <si>
    <t>شلف دیواری مدل wt</t>
  </si>
  <si>
    <t>001</t>
  </si>
  <si>
    <t>002</t>
  </si>
  <si>
    <t>004</t>
  </si>
  <si>
    <t>005</t>
  </si>
  <si>
    <t>006</t>
  </si>
  <si>
    <t>007</t>
  </si>
  <si>
    <t>008</t>
  </si>
  <si>
    <t>003</t>
  </si>
  <si>
    <t>صابری</t>
  </si>
  <si>
    <t>هاشمی</t>
  </si>
  <si>
    <t>هاشم پور</t>
  </si>
  <si>
    <t>معماری داخلی</t>
  </si>
  <si>
    <t>طراحی داخلی</t>
  </si>
  <si>
    <t>طبقه دیواری مجموعه سه عددی مدل Z20</t>
  </si>
  <si>
    <t>روپوش گارپاهی زنانه مدل گیتی</t>
  </si>
  <si>
    <t>روپوش کار گاهی زنانه مدل زرین</t>
  </si>
  <si>
    <t>روپوش کار گاهی مردانه مدل 001</t>
  </si>
  <si>
    <t>روپوش کار گاهی مردانه مدل 002</t>
  </si>
  <si>
    <t>ست روپوش و شلوار زنانه مدل باس</t>
  </si>
  <si>
    <t>رشته تولید کننده</t>
  </si>
  <si>
    <t>هزینه مواد اولیه</t>
  </si>
  <si>
    <t>هزینه دستمزد</t>
  </si>
  <si>
    <t>هزینه های سربار</t>
  </si>
  <si>
    <t>قیمت تمام شده</t>
  </si>
  <si>
    <t>قیمت نهایی</t>
  </si>
  <si>
    <t>میزان مالیات</t>
  </si>
  <si>
    <t>لیست حق الزحمه</t>
  </si>
  <si>
    <t>نام و نام خانوادگی</t>
  </si>
  <si>
    <t>ساعت کارکرد</t>
  </si>
  <si>
    <t>حق الزحمه ساعتی</t>
  </si>
  <si>
    <t>حق الزحمه پرداختی</t>
  </si>
  <si>
    <t>پرنیا اکبری</t>
  </si>
  <si>
    <t>رومینا صالحی</t>
  </si>
  <si>
    <t>مینا آریان پور</t>
  </si>
  <si>
    <t>تهمینه دماوندی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</si>
</sst>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 * #,##0_-[$ريال-429]_ ;_ * #,##0\-[$ريال-429]_ ;_ * &quot;-&quot;_-[$ريال-429]_ ;_ @_ "/>
    <numFmt numFmtId="167" formatCode="#,##0.00_-[$ريال-429]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2  Badr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996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5" xfId="0" applyFont="1" applyBorder="1"/>
    <xf numFmtId="0" fontId="2" fillId="0" borderId="1" xfId="0" quotePrefix="1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166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0" fontId="2" fillId="0" borderId="0" xfId="1" applyNumberFormat="1" applyFont="1"/>
    <xf numFmtId="0" fontId="2" fillId="0" borderId="0" xfId="0" applyFont="1"/>
    <xf numFmtId="165" fontId="2" fillId="0" borderId="0" xfId="1" applyFont="1"/>
    <xf numFmtId="0" fontId="2" fillId="0" borderId="0" xfId="0" quotePrefix="1" applyFont="1"/>
    <xf numFmtId="164" fontId="2" fillId="0" borderId="0" xfId="1" applyNumberFormat="1" applyFont="1"/>
    <xf numFmtId="0" fontId="3" fillId="0" borderId="1" xfId="0" applyFont="1" applyBorder="1"/>
    <xf numFmtId="167" fontId="3" fillId="0" borderId="1" xfId="0" applyNumberFormat="1" applyFont="1" applyBorder="1"/>
    <xf numFmtId="0" fontId="4" fillId="3" borderId="1" xfId="0" applyFont="1" applyFill="1" applyBorder="1"/>
    <xf numFmtId="9" fontId="4" fillId="3" borderId="1" xfId="0" applyNumberFormat="1" applyFont="1" applyFill="1" applyBorder="1"/>
    <xf numFmtId="0" fontId="4" fillId="0" borderId="1" xfId="0" applyFont="1" applyBorder="1"/>
    <xf numFmtId="0" fontId="4" fillId="5" borderId="1" xfId="0" applyFont="1" applyFill="1" applyBorder="1"/>
    <xf numFmtId="167" fontId="5" fillId="0" borderId="1" xfId="0" applyNumberFormat="1" applyFont="1" applyBorder="1"/>
    <xf numFmtId="0" fontId="4" fillId="4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2  Badr"/>
        <charset val="178"/>
        <scheme val="none"/>
      </font>
      <numFmt numFmtId="166" formatCode="_ * #,##0_-[$ريال-429]_ ;_ * #,##0\-[$ريال-429]_ ;_ * &quot;-&quot;_-[$ريال-429]_ ;_ @_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2  Badr"/>
        <charset val="178"/>
        <scheme val="none"/>
      </font>
      <numFmt numFmtId="166" formatCode="_ * #,##0_-[$ريال-429]_ ;_ * #,##0\-[$ريال-429]_ ;_ * &quot;-&quot;_-[$ريال-429]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2  Badr"/>
        <charset val="178"/>
        <scheme val="none"/>
      </font>
      <numFmt numFmtId="166" formatCode="_ * #,##0_-[$ريال-429]_ ;_ * #,##0\-[$ريال-429]_ ;_ * &quot;-&quot;_-[$ريال-429]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2  Badr"/>
        <charset val="178"/>
        <scheme val="none"/>
      </font>
      <numFmt numFmtId="166" formatCode="_ * #,##0_-[$ريال-429]_ ;_ * #,##0\-[$ريال-429]_ ;_ * &quot;-&quot;_-[$ريال-429]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Badr"/>
        <charset val="178"/>
        <scheme val="none"/>
      </font>
      <numFmt numFmtId="166" formatCode="_ * #,##0_-[$ريال-429]_ ;_ * #,##0\-[$ريال-429]_ ;_ * &quot;-&quot;_-[$ريال-429]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2  Badr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2  Badr"/>
        <charset val="178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2  Badr"/>
        <charset val="178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2  Badr"/>
        <charset val="178"/>
        <scheme val="none"/>
      </font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39966"/>
      <color rgb="FF33CC33"/>
      <color rgb="FFCCFFCC"/>
      <color rgb="FFFFCC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8D537-D8E3-4012-A70A-B21678CAFD6A}" name="Table1" displayName="Table1" ref="A1:G10" totalsRowShown="0" headerRowDxfId="11" dataDxfId="9" headerRowBorderDxfId="10" tableBorderDxfId="8" totalsRowBorderDxfId="7">
  <autoFilter ref="A1:G10" xr:uid="{8FB8D537-D8E3-4012-A70A-B21678CAFD6A}"/>
  <tableColumns count="7">
    <tableColumn id="1" xr3:uid="{17ABDAA6-17C4-49BB-9941-BB165EEA0946}" name="رشته تولید کننده" dataDxfId="6"/>
    <tableColumn id="2" xr3:uid="{04D28CC5-52C2-46DF-8CDE-336C7664D592}" name="کد محصول" dataDxfId="5"/>
    <tableColumn id="3" xr3:uid="{91637754-7BD4-4984-B55F-453B024B89B0}" name="هزینه مواد اولیه" dataDxfId="4" dataCellStyle="Comma"/>
    <tableColumn id="4" xr3:uid="{0E4491E8-9F0D-4394-8520-1904E22FB9B7}" name="هزینه دستمزد" dataDxfId="3"/>
    <tableColumn id="5" xr3:uid="{E9CF774D-F8C7-4532-9D3D-9C667508874A}" name="هزینه های سربار" dataDxfId="2"/>
    <tableColumn id="6" xr3:uid="{2F89BCE3-4C8B-4CA3-97A5-8A3BAF8DD5C0}" name="قیمت تمام شده" dataDxfId="1"/>
    <tableColumn id="7" xr3:uid="{62D9B839-4885-45C4-B82C-17F57661806A}" name="قیمت نهایی" dataDxfId="0">
      <calculatedColumnFormula>F2+(F2*0.1)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E8A9-864B-4DE8-B80E-404B9C98ACB2}">
  <dimension ref="A1:F10"/>
  <sheetViews>
    <sheetView rightToLeft="1" topLeftCell="A6" zoomScale="130" zoomScaleNormal="130" workbookViewId="0">
      <selection activeCell="G13" sqref="G13"/>
    </sheetView>
  </sheetViews>
  <sheetFormatPr defaultRowHeight="14.5" x14ac:dyDescent="0.35"/>
  <cols>
    <col min="2" max="2" width="30.81640625" customWidth="1"/>
    <col min="5" max="5" width="15.7265625" customWidth="1"/>
    <col min="6" max="6" width="18.453125" customWidth="1"/>
  </cols>
  <sheetData>
    <row r="1" spans="1:6" ht="22" x14ac:dyDescent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ht="22" x14ac:dyDescent="1">
      <c r="A2" s="14">
        <v>1</v>
      </c>
      <c r="B2" s="15" t="s">
        <v>6</v>
      </c>
      <c r="C2" s="16" t="s">
        <v>8</v>
      </c>
      <c r="D2" s="14" t="s">
        <v>16</v>
      </c>
      <c r="E2" s="17">
        <v>130000</v>
      </c>
      <c r="F2" s="14" t="s">
        <v>19</v>
      </c>
    </row>
    <row r="3" spans="1:6" ht="22" x14ac:dyDescent="1">
      <c r="A3" s="14">
        <v>2</v>
      </c>
      <c r="B3" s="14" t="s">
        <v>7</v>
      </c>
      <c r="C3" s="16" t="s">
        <v>9</v>
      </c>
      <c r="D3" s="14" t="s">
        <v>16</v>
      </c>
      <c r="E3" s="17">
        <v>150000</v>
      </c>
      <c r="F3" s="14" t="s">
        <v>19</v>
      </c>
    </row>
    <row r="4" spans="1:6" ht="22" x14ac:dyDescent="1">
      <c r="A4" s="14">
        <v>3</v>
      </c>
      <c r="B4" s="14" t="s">
        <v>21</v>
      </c>
      <c r="C4" s="16" t="s">
        <v>15</v>
      </c>
      <c r="D4" s="14" t="s">
        <v>16</v>
      </c>
      <c r="E4" s="17">
        <v>170000</v>
      </c>
      <c r="F4" s="14" t="s">
        <v>19</v>
      </c>
    </row>
    <row r="5" spans="1:6" ht="22" x14ac:dyDescent="1">
      <c r="A5" s="14">
        <v>4</v>
      </c>
      <c r="B5" s="14" t="s">
        <v>22</v>
      </c>
      <c r="C5" s="16" t="s">
        <v>10</v>
      </c>
      <c r="D5" s="14" t="s">
        <v>17</v>
      </c>
      <c r="E5" s="17">
        <v>350000</v>
      </c>
      <c r="F5" s="14" t="s">
        <v>20</v>
      </c>
    </row>
    <row r="6" spans="1:6" ht="22" x14ac:dyDescent="1">
      <c r="A6" s="14">
        <v>5</v>
      </c>
      <c r="B6" s="14" t="s">
        <v>23</v>
      </c>
      <c r="C6" s="16" t="s">
        <v>11</v>
      </c>
      <c r="D6" s="14" t="s">
        <v>17</v>
      </c>
      <c r="E6" s="17">
        <v>290000</v>
      </c>
      <c r="F6" s="14" t="s">
        <v>20</v>
      </c>
    </row>
    <row r="7" spans="1:6" ht="22" x14ac:dyDescent="1">
      <c r="A7" s="14">
        <v>6</v>
      </c>
      <c r="B7" s="14" t="s">
        <v>24</v>
      </c>
      <c r="C7" s="16" t="s">
        <v>12</v>
      </c>
      <c r="D7" s="14" t="s">
        <v>17</v>
      </c>
      <c r="E7" s="17">
        <v>360000</v>
      </c>
      <c r="F7" s="14" t="s">
        <v>20</v>
      </c>
    </row>
    <row r="8" spans="1:6" ht="22" x14ac:dyDescent="1">
      <c r="A8" s="14">
        <v>7</v>
      </c>
      <c r="B8" s="14" t="s">
        <v>25</v>
      </c>
      <c r="C8" s="16" t="s">
        <v>13</v>
      </c>
      <c r="D8" s="14" t="s">
        <v>17</v>
      </c>
      <c r="E8" s="17">
        <v>280000</v>
      </c>
      <c r="F8" s="14" t="s">
        <v>20</v>
      </c>
    </row>
    <row r="9" spans="1:6" ht="22" x14ac:dyDescent="1">
      <c r="A9" s="14">
        <v>8</v>
      </c>
      <c r="B9" s="14" t="s">
        <v>26</v>
      </c>
      <c r="C9" s="16" t="s">
        <v>14</v>
      </c>
      <c r="D9" s="14" t="s">
        <v>18</v>
      </c>
      <c r="E9" s="17">
        <v>385000</v>
      </c>
      <c r="F9" s="14" t="s">
        <v>20</v>
      </c>
    </row>
    <row r="10" spans="1:6" ht="22" x14ac:dyDescent="1">
      <c r="A10" s="14"/>
      <c r="B10" s="14"/>
      <c r="C10" s="14"/>
      <c r="D10" s="14"/>
      <c r="E10" s="16">
        <f>'قیمت تمام شده'!D2+'قیمت تمام شده'!E2</f>
        <v>200000</v>
      </c>
      <c r="F10" s="14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D493-39C9-4301-8E4C-CC398A8BD2C3}">
  <dimension ref="A1:G10"/>
  <sheetViews>
    <sheetView rightToLeft="1" zoomScale="130" zoomScaleNormal="130" workbookViewId="0">
      <selection activeCell="F11" sqref="F11"/>
    </sheetView>
  </sheetViews>
  <sheetFormatPr defaultRowHeight="14.5" x14ac:dyDescent="0.35"/>
  <cols>
    <col min="1" max="1" width="12.81640625" customWidth="1"/>
    <col min="2" max="2" width="9.6328125" customWidth="1"/>
    <col min="3" max="3" width="14.36328125" customWidth="1"/>
    <col min="4" max="4" width="12.26953125" customWidth="1"/>
    <col min="5" max="5" width="13.90625" customWidth="1"/>
    <col min="6" max="6" width="14.26953125" customWidth="1"/>
    <col min="7" max="7" width="13.90625" customWidth="1"/>
  </cols>
  <sheetData>
    <row r="1" spans="1:7" ht="22" x14ac:dyDescent="1">
      <c r="A1" s="1" t="s">
        <v>27</v>
      </c>
      <c r="B1" s="2" t="s">
        <v>2</v>
      </c>
      <c r="C1" s="2" t="s">
        <v>28</v>
      </c>
      <c r="D1" s="2" t="s">
        <v>29</v>
      </c>
      <c r="E1" s="2" t="s">
        <v>30</v>
      </c>
      <c r="F1" s="2" t="s">
        <v>31</v>
      </c>
      <c r="G1" s="3" t="s">
        <v>32</v>
      </c>
    </row>
    <row r="2" spans="1:7" ht="22" x14ac:dyDescent="1">
      <c r="A2" s="4" t="s">
        <v>19</v>
      </c>
      <c r="B2" s="5" t="s">
        <v>8</v>
      </c>
      <c r="C2" s="6">
        <v>500000</v>
      </c>
      <c r="D2" s="7">
        <v>100000</v>
      </c>
      <c r="E2" s="7">
        <v>100000</v>
      </c>
      <c r="F2" s="7">
        <f>SUM(C3:E3)</f>
        <v>700000</v>
      </c>
      <c r="G2" s="8">
        <f t="shared" ref="G2:G10" si="0">F2+(F2*0.1)</f>
        <v>770000</v>
      </c>
    </row>
    <row r="3" spans="1:7" ht="22" x14ac:dyDescent="1">
      <c r="A3" s="4" t="s">
        <v>19</v>
      </c>
      <c r="B3" s="5" t="s">
        <v>9</v>
      </c>
      <c r="C3" s="6">
        <v>400000</v>
      </c>
      <c r="D3" s="7">
        <v>100000</v>
      </c>
      <c r="E3" s="7">
        <v>200000</v>
      </c>
      <c r="F3" s="7">
        <f t="shared" ref="F3:F9" si="1">SUM(C3:E3)</f>
        <v>700000</v>
      </c>
      <c r="G3" s="8">
        <f t="shared" si="0"/>
        <v>770000</v>
      </c>
    </row>
    <row r="4" spans="1:7" ht="22" x14ac:dyDescent="1">
      <c r="A4" s="4" t="s">
        <v>19</v>
      </c>
      <c r="B4" s="5" t="s">
        <v>15</v>
      </c>
      <c r="C4" s="6">
        <v>450000</v>
      </c>
      <c r="D4" s="7">
        <v>100000</v>
      </c>
      <c r="E4" s="7">
        <v>300000</v>
      </c>
      <c r="F4" s="7">
        <f t="shared" si="1"/>
        <v>850000</v>
      </c>
      <c r="G4" s="8">
        <f t="shared" si="0"/>
        <v>935000</v>
      </c>
    </row>
    <row r="5" spans="1:7" ht="22" x14ac:dyDescent="1">
      <c r="A5" s="4" t="s">
        <v>20</v>
      </c>
      <c r="B5" s="5" t="s">
        <v>10</v>
      </c>
      <c r="C5" s="6">
        <v>600000</v>
      </c>
      <c r="D5" s="7">
        <v>100000</v>
      </c>
      <c r="E5" s="7">
        <v>400000</v>
      </c>
      <c r="F5" s="7">
        <f t="shared" si="1"/>
        <v>1100000</v>
      </c>
      <c r="G5" s="8">
        <f t="shared" si="0"/>
        <v>1210000</v>
      </c>
    </row>
    <row r="6" spans="1:7" ht="22" x14ac:dyDescent="1">
      <c r="A6" s="4" t="s">
        <v>20</v>
      </c>
      <c r="B6" s="5" t="s">
        <v>11</v>
      </c>
      <c r="C6" s="6">
        <v>600000</v>
      </c>
      <c r="D6" s="7">
        <v>100000</v>
      </c>
      <c r="E6" s="7">
        <v>500000</v>
      </c>
      <c r="F6" s="7">
        <f t="shared" si="1"/>
        <v>1200000</v>
      </c>
      <c r="G6" s="8">
        <f t="shared" si="0"/>
        <v>1320000</v>
      </c>
    </row>
    <row r="7" spans="1:7" ht="22" x14ac:dyDescent="1">
      <c r="A7" s="4" t="s">
        <v>20</v>
      </c>
      <c r="B7" s="5" t="s">
        <v>12</v>
      </c>
      <c r="C7" s="6">
        <v>700000</v>
      </c>
      <c r="D7" s="7">
        <v>100000</v>
      </c>
      <c r="E7" s="7">
        <v>600000</v>
      </c>
      <c r="F7" s="7">
        <f t="shared" si="1"/>
        <v>1400000</v>
      </c>
      <c r="G7" s="8">
        <f t="shared" si="0"/>
        <v>1540000</v>
      </c>
    </row>
    <row r="8" spans="1:7" ht="22" x14ac:dyDescent="1">
      <c r="A8" s="4" t="s">
        <v>20</v>
      </c>
      <c r="B8" s="5" t="s">
        <v>13</v>
      </c>
      <c r="C8" s="6">
        <v>700000</v>
      </c>
      <c r="D8" s="7">
        <v>100000</v>
      </c>
      <c r="E8" s="7">
        <v>700000</v>
      </c>
      <c r="F8" s="7">
        <f t="shared" si="1"/>
        <v>1500000</v>
      </c>
      <c r="G8" s="8">
        <f t="shared" si="0"/>
        <v>1650000</v>
      </c>
    </row>
    <row r="9" spans="1:7" ht="22" x14ac:dyDescent="1">
      <c r="A9" s="4" t="s">
        <v>20</v>
      </c>
      <c r="B9" s="5" t="s">
        <v>14</v>
      </c>
      <c r="C9" s="6">
        <v>550000</v>
      </c>
      <c r="D9" s="7">
        <v>100000</v>
      </c>
      <c r="E9" s="7">
        <v>800000</v>
      </c>
      <c r="F9" s="7">
        <f t="shared" si="1"/>
        <v>1450000</v>
      </c>
      <c r="G9" s="8">
        <f t="shared" si="0"/>
        <v>1595000</v>
      </c>
    </row>
    <row r="10" spans="1:7" ht="22" x14ac:dyDescent="1">
      <c r="A10" s="9"/>
      <c r="B10" s="10"/>
      <c r="C10" s="11">
        <f>SUM(C2:C9)</f>
        <v>4500000</v>
      </c>
      <c r="D10" s="11">
        <f>SUM(D2:D9)</f>
        <v>800000</v>
      </c>
      <c r="E10" s="11">
        <f>SUM(E2:E9)</f>
        <v>3600000</v>
      </c>
      <c r="F10" s="11">
        <f>SUM(F2:F9)</f>
        <v>8900000</v>
      </c>
      <c r="G10" s="12">
        <f t="shared" si="0"/>
        <v>9790000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1640-80B8-4E28-AFA6-82AE987CB9AD}">
  <dimension ref="A1:D7"/>
  <sheetViews>
    <sheetView rightToLeft="1" tabSelected="1" zoomScale="173" workbookViewId="0">
      <selection activeCell="E8" sqref="E8"/>
    </sheetView>
  </sheetViews>
  <sheetFormatPr defaultRowHeight="14.5" x14ac:dyDescent="0.35"/>
  <cols>
    <col min="1" max="1" width="11.36328125" customWidth="1"/>
    <col min="2" max="2" width="10" customWidth="1"/>
    <col min="3" max="3" width="18.1796875" customWidth="1"/>
    <col min="4" max="4" width="19.08984375" customWidth="1"/>
  </cols>
  <sheetData>
    <row r="1" spans="1:4" ht="18.5" x14ac:dyDescent="0.7">
      <c r="A1" s="20" t="s">
        <v>33</v>
      </c>
      <c r="B1" s="21">
        <v>0.1</v>
      </c>
      <c r="C1" s="22"/>
      <c r="D1" s="22"/>
    </row>
    <row r="2" spans="1:4" ht="18.5" x14ac:dyDescent="0.7">
      <c r="A2" s="25" t="s">
        <v>34</v>
      </c>
      <c r="B2" s="25"/>
      <c r="C2" s="25"/>
      <c r="D2" s="25"/>
    </row>
    <row r="3" spans="1:4" ht="18.5" x14ac:dyDescent="0.7">
      <c r="A3" s="23" t="s">
        <v>35</v>
      </c>
      <c r="B3" s="23" t="s">
        <v>36</v>
      </c>
      <c r="C3" s="23" t="s">
        <v>37</v>
      </c>
      <c r="D3" s="23" t="s">
        <v>38</v>
      </c>
    </row>
    <row r="4" spans="1:4" ht="17" x14ac:dyDescent="0.6">
      <c r="A4" s="18" t="s">
        <v>39</v>
      </c>
      <c r="B4" s="18">
        <v>12</v>
      </c>
      <c r="C4" s="24">
        <v>100000</v>
      </c>
      <c r="D4" s="19">
        <f>(C4*B4)-(C4*B4)*$B$1</f>
        <v>1080000</v>
      </c>
    </row>
    <row r="5" spans="1:4" ht="17" x14ac:dyDescent="0.6">
      <c r="A5" s="18" t="s">
        <v>40</v>
      </c>
      <c r="B5" s="18">
        <v>23</v>
      </c>
      <c r="C5" s="24">
        <v>160000</v>
      </c>
      <c r="D5" s="19">
        <f>(C5*B5)-(C5*B5)*$B$1</f>
        <v>3312000</v>
      </c>
    </row>
    <row r="6" spans="1:4" ht="17" x14ac:dyDescent="0.6">
      <c r="A6" s="18" t="s">
        <v>41</v>
      </c>
      <c r="B6" s="18">
        <v>45</v>
      </c>
      <c r="C6" s="24">
        <v>120000</v>
      </c>
      <c r="D6" s="19">
        <f>(C6*B6)-(C6*B6)*$B$1</f>
        <v>4860000</v>
      </c>
    </row>
    <row r="7" spans="1:4" ht="17" x14ac:dyDescent="0.6">
      <c r="A7" s="18" t="s">
        <v>42</v>
      </c>
      <c r="B7" s="18">
        <v>16</v>
      </c>
      <c r="C7" s="24">
        <v>170000000</v>
      </c>
      <c r="D7" s="19">
        <f>(C7*B7)-(C7*B7)*$B$1</f>
        <v>2448000000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مدیریت داده</vt:lpstr>
      <vt:lpstr>قیمت تمام شده</vt:lpstr>
      <vt:lpstr>حق الزحمه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lenovo-2</dc:creator>
  <cp:lastModifiedBy>ZBook</cp:lastModifiedBy>
  <dcterms:created xsi:type="dcterms:W3CDTF">2026-10-21T08:42:48Z</dcterms:created>
  <dcterms:modified xsi:type="dcterms:W3CDTF">2026-10-28T07:55:31Z</dcterms:modified>
</cp:coreProperties>
</file>